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/>
  <xr:revisionPtr revIDLastSave="0" documentId="8_{BFD41A57-2F77-4EFC-AC79-DCA700B7B740}" xr6:coauthVersionLast="47" xr6:coauthVersionMax="47" xr10:uidLastSave="{00000000-0000-0000-0000-000000000000}"/>
  <bookViews>
    <workbookView xWindow="-120" yWindow="-120" windowWidth="19440" windowHeight="11520" activeTab="2" xr2:uid="{00000000-000D-0000-FFFF-FFFF00000000}"/>
  </bookViews>
  <sheets>
    <sheet name="Resumen" sheetId="4" r:id="rId1"/>
    <sheet name="Activos" sheetId="1" r:id="rId2"/>
    <sheet name="Deudas y capital de propietario" sheetId="2" r:id="rId3"/>
  </sheets>
  <definedNames>
    <definedName name="Current_Year">Resumen!$D$2</definedName>
    <definedName name="Preceding_Year">Resumen!$C$2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4" l="1"/>
  <c r="D2" i="2" s="1"/>
  <c r="C2" i="4"/>
  <c r="C2" i="2" s="1"/>
  <c r="C19" i="2"/>
  <c r="D19" i="2"/>
  <c r="C14" i="2"/>
  <c r="D14" i="2"/>
  <c r="D6" i="4" s="1"/>
  <c r="C10" i="2"/>
  <c r="D10" i="2"/>
  <c r="C21" i="1"/>
  <c r="D21" i="1"/>
  <c r="C17" i="1"/>
  <c r="D17" i="1"/>
  <c r="C10" i="1"/>
  <c r="D10" i="1"/>
  <c r="D5" i="4" l="1"/>
  <c r="D7" i="4" s="1"/>
  <c r="C5" i="4"/>
  <c r="C6" i="4"/>
  <c r="D2" i="1"/>
  <c r="C2" i="1"/>
  <c r="C7" i="4" l="1"/>
</calcChain>
</file>

<file path=xl/sharedStrings.xml><?xml version="1.0" encoding="utf-8"?>
<sst xmlns="http://schemas.openxmlformats.org/spreadsheetml/2006/main" count="53" uniqueCount="38">
  <si>
    <t>Resumen del balance</t>
  </si>
  <si>
    <t>Total de activos</t>
  </si>
  <si>
    <t>Deudas y capital de propietario totales</t>
  </si>
  <si>
    <t>Saldo</t>
  </si>
  <si>
    <t>Año 1</t>
  </si>
  <si>
    <t>Año 2</t>
  </si>
  <si>
    <t xml:space="preserve"> </t>
  </si>
  <si>
    <t>Activos actuales</t>
  </si>
  <si>
    <t>Efectivo</t>
  </si>
  <si>
    <t>Inversiones</t>
  </si>
  <si>
    <t>Existencias</t>
  </si>
  <si>
    <t>Cuentas por cobrar</t>
  </si>
  <si>
    <t>Gastos prepagados</t>
  </si>
  <si>
    <t>Otros</t>
  </si>
  <si>
    <t>Activos actuales totales</t>
  </si>
  <si>
    <t>Activo fijo</t>
  </si>
  <si>
    <t>Propiedad y equipos</t>
  </si>
  <si>
    <t>Mejoras de arrendamiento</t>
  </si>
  <si>
    <t>Capital y otras inversiones</t>
  </si>
  <si>
    <t>Menos amortización acumulada</t>
  </si>
  <si>
    <t>Activos fijos totales</t>
  </si>
  <si>
    <t>Otros activos</t>
  </si>
  <si>
    <t>Fondo de comercio</t>
  </si>
  <si>
    <t>Total de otros activos</t>
  </si>
  <si>
    <t>Deudas actuales</t>
  </si>
  <si>
    <t>Cuentas por pagar</t>
  </si>
  <si>
    <t>Sueldo acumulado</t>
  </si>
  <si>
    <t>Compensación acumulada</t>
  </si>
  <si>
    <t>Impuestos sobre ingresos por pagar</t>
  </si>
  <si>
    <t>Ingresos no devengados</t>
  </si>
  <si>
    <t>Deudas actuales totales</t>
  </si>
  <si>
    <t>Deudas a largo plazo</t>
  </si>
  <si>
    <t>Hipoteca por pagar</t>
  </si>
  <si>
    <t>Deudas a largo plazo totales</t>
  </si>
  <si>
    <t>Capital del propietario</t>
  </si>
  <si>
    <t>Capital de inversión</t>
  </si>
  <si>
    <t>Ganancias retenidas acumuladas</t>
  </si>
  <si>
    <t>Capital del propietario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</si>
</sst>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(* #,##0_);_(* \(#,##0\);_(* &quot;-&quot;_);_(@_)"/>
    <numFmt numFmtId="165" formatCode="_(* #,##0.00_);_(* \(#,##0.00\);_(* &quot;-&quot;??_);_(@_)"/>
    <numFmt numFmtId="166" formatCode="#,##0.00\ &quot;€&quot;"/>
  </numFmts>
  <fonts count="25" x14ac:knownFonts="1">
    <font>
      <sz val="11"/>
      <color theme="1"/>
      <name val="Franklin Gothic Book"/>
      <family val="2"/>
      <scheme val="minor"/>
    </font>
    <font>
      <sz val="11"/>
      <color theme="3"/>
      <name val="Franklin Gothic Book"/>
      <family val="2"/>
      <scheme val="minor"/>
    </font>
    <font>
      <sz val="11"/>
      <color theme="3"/>
      <name val="Constantia"/>
      <family val="2"/>
      <scheme val="major"/>
    </font>
    <font>
      <sz val="11"/>
      <name val="Franklin Gothic Book"/>
      <family val="2"/>
      <scheme val="minor"/>
    </font>
    <font>
      <sz val="12"/>
      <color theme="5"/>
      <name val="Franklin Gothic Book"/>
      <family val="2"/>
      <scheme val="minor"/>
    </font>
    <font>
      <b/>
      <sz val="12"/>
      <color theme="1"/>
      <name val="Franklin Gothic Book"/>
      <family val="2"/>
      <scheme val="minor"/>
    </font>
    <font>
      <sz val="20"/>
      <color theme="0"/>
      <name val="Constantia"/>
      <family val="2"/>
      <scheme val="major"/>
    </font>
    <font>
      <sz val="11"/>
      <color theme="0"/>
      <name val="Franklin Gothic Book"/>
      <family val="2"/>
      <scheme val="minor"/>
    </font>
    <font>
      <sz val="20"/>
      <color theme="3"/>
      <name val="Constantia"/>
      <family val="2"/>
      <scheme val="major"/>
    </font>
    <font>
      <sz val="11"/>
      <color theme="1"/>
      <name val="Franklin Gothic Book"/>
      <family val="2"/>
      <scheme val="minor"/>
    </font>
    <font>
      <sz val="18"/>
      <color theme="3"/>
      <name val="Constantia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n">
        <color theme="6" tint="0.79998168889431442"/>
      </bottom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/>
      </left>
      <right/>
      <top/>
      <bottom/>
      <diagonal/>
    </border>
    <border>
      <left/>
      <right/>
      <top/>
      <bottom style="thin">
        <color theme="5" tint="0.79998168889431442"/>
      </bottom>
      <diagonal/>
    </border>
    <border>
      <left/>
      <right/>
      <top style="thin">
        <color theme="6" tint="0.79995117038483843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3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10" applyNumberFormat="0" applyAlignment="0" applyProtection="0"/>
    <xf numFmtId="0" fontId="18" fillId="8" borderId="11" applyNumberFormat="0" applyAlignment="0" applyProtection="0"/>
    <xf numFmtId="0" fontId="19" fillId="8" borderId="10" applyNumberFormat="0" applyAlignment="0" applyProtection="0"/>
    <xf numFmtId="0" fontId="20" fillId="0" borderId="12" applyNumberFormat="0" applyFill="0" applyAlignment="0" applyProtection="0"/>
    <xf numFmtId="0" fontId="21" fillId="9" borderId="13" applyNumberFormat="0" applyAlignment="0" applyProtection="0"/>
    <xf numFmtId="0" fontId="22" fillId="0" borderId="0" applyNumberFormat="0" applyFill="0" applyBorder="0" applyAlignment="0" applyProtection="0"/>
    <xf numFmtId="0" fontId="9" fillId="10" borderId="14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5" applyNumberFormat="0" applyFill="0" applyAlignment="0" applyProtection="0"/>
    <xf numFmtId="0" fontId="7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7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7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7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7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7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/>
    <xf numFmtId="0" fontId="1" fillId="0" borderId="3" xfId="0" applyFont="1" applyBorder="1" applyAlignment="1">
      <alignment horizontal="right" vertical="center" indent="1"/>
    </xf>
    <xf numFmtId="0" fontId="1" fillId="0" borderId="4" xfId="0" applyFont="1" applyBorder="1" applyAlignment="1">
      <alignment horizontal="right" vertical="center" indent="1"/>
    </xf>
    <xf numFmtId="0" fontId="0" fillId="0" borderId="0" xfId="0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0" fillId="2" borderId="0" xfId="0" applyFill="1" applyAlignment="1">
      <alignment horizontal="left" vertical="center" indent="1"/>
    </xf>
    <xf numFmtId="0" fontId="0" fillId="3" borderId="0" xfId="0" applyFill="1" applyAlignment="1">
      <alignment horizontal="left" vertical="center" indent="1"/>
    </xf>
    <xf numFmtId="0" fontId="4" fillId="0" borderId="1" xfId="0" applyFont="1" applyBorder="1" applyAlignment="1">
      <alignment horizontal="right" indent="1"/>
    </xf>
    <xf numFmtId="0" fontId="4" fillId="0" borderId="0" xfId="0" applyFont="1" applyAlignment="1">
      <alignment horizontal="right" vertical="center" indent="1"/>
    </xf>
    <xf numFmtId="0" fontId="4" fillId="0" borderId="6" xfId="0" applyFont="1" applyBorder="1" applyAlignment="1">
      <alignment horizontal="right" vertical="center" indent="1"/>
    </xf>
    <xf numFmtId="0" fontId="5" fillId="0" borderId="2" xfId="0" applyFont="1" applyBorder="1" applyAlignment="1">
      <alignment horizontal="left" vertical="center" indent="1"/>
    </xf>
    <xf numFmtId="0" fontId="8" fillId="0" borderId="1" xfId="0" applyFont="1" applyBorder="1"/>
    <xf numFmtId="0" fontId="1" fillId="0" borderId="0" xfId="0" applyFont="1" applyAlignment="1">
      <alignment vertical="center"/>
    </xf>
    <xf numFmtId="0" fontId="6" fillId="0" borderId="5" xfId="0" applyFont="1" applyBorder="1"/>
    <xf numFmtId="0" fontId="7" fillId="0" borderId="5" xfId="0" applyFont="1" applyBorder="1" applyAlignment="1">
      <alignment vertical="center"/>
    </xf>
    <xf numFmtId="166" fontId="0" fillId="0" borderId="0" xfId="0" applyNumberFormat="1" applyAlignment="1">
      <alignment horizontal="right" vertical="center" indent="1"/>
    </xf>
    <xf numFmtId="166" fontId="0" fillId="3" borderId="0" xfId="0" applyNumberFormat="1" applyFill="1" applyAlignment="1">
      <alignment horizontal="right" vertical="center" indent="1"/>
    </xf>
    <xf numFmtId="166" fontId="0" fillId="2" borderId="0" xfId="0" applyNumberFormat="1" applyFill="1" applyAlignment="1">
      <alignment horizontal="right" vertical="center" indent="1"/>
    </xf>
    <xf numFmtId="166" fontId="3" fillId="2" borderId="0" xfId="0" applyNumberFormat="1" applyFont="1" applyFill="1" applyAlignment="1">
      <alignment horizontal="right" vertical="center" indent="1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5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#,##0.00\ &quot;€&quot;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#,##0.00\ &quot;€&quot;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#,##0.00\ &quot;€&quot;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#,##0.00\ &quot;€&quot;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#,##0.00\ &quot;€&quot;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#,##0.00\ &quot;€&quot;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#,##0.00\ &quot;€&quot;"/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#,##0.00\ &quot;€&quot;"/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#,##0.00\ &quot;€&quot;"/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#,##0.00\ &quot;€&quot;"/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#,##0.00\ &quot;€&quot;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Book"/>
        <scheme val="minor"/>
      </font>
      <numFmt numFmtId="166" formatCode="#,##0.00\ &quot;€&quot;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</font>
      <numFmt numFmtId="166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Book"/>
        <scheme val="minor"/>
      </font>
      <numFmt numFmtId="166" formatCode="#,##0.00\ &quot;€&quot;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</font>
      <numFmt numFmtId="166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</font>
    </dxf>
    <dxf>
      <font>
        <strike val="0"/>
        <outline val="0"/>
        <shadow val="0"/>
        <u val="none"/>
        <vertAlign val="baseline"/>
        <sz val="11"/>
        <color auto="1"/>
        <name val="Franklin Gothic Book"/>
        <scheme val="minor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1"/>
        <name val="Franklin Gothic Book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7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7" formatCode="&quot;$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ill>
        <patternFill>
          <bgColor theme="0" tint="-4.9989318521683403E-2"/>
        </patternFill>
      </fill>
    </dxf>
    <dxf>
      <font>
        <b val="0"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Tabla de la empresa" pivot="0" count="3" xr9:uid="{00000000-0011-0000-FFFF-FFFF00000000}">
      <tableStyleElement type="wholeTable" dxfId="48"/>
      <tableStyleElement type="headerRow" dxfId="47"/>
      <tableStyleElement type="secondRowStripe" dxfId="4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accent2"/>
                </a:solidFill>
                <a:latin typeface="+mj-lt"/>
                <a:ea typeface=""/>
                <a:cs typeface=""/>
              </a:defRPr>
            </a:pPr>
            <a:r>
              <a:rPr lang="en-US">
                <a:latin typeface="+mj-lt"/>
              </a:rPr>
              <a:t>Activos</a:t>
            </a:r>
          </a:p>
        </c:rich>
      </c:tx>
      <c:layout>
        <c:manualLayout>
          <c:xMode val="edge"/>
          <c:yMode val="edge"/>
          <c:x val="1.2538232720909868E-2"/>
          <c:y val="2.5974025974025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accent2"/>
              </a:solidFill>
              <a:latin typeface="+mj-lt"/>
              <a:ea typeface=""/>
              <a:cs typeface="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0.26318122697570812"/>
          <c:y val="0.17336401131676724"/>
          <c:w val="0.67404923791054305"/>
          <c:h val="0.79769676517708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Resumen!$C$2</c:f>
              <c:strCache>
                <c:ptCount val="1"/>
                <c:pt idx="0">
                  <c:v>Año 2025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FBE-4A72-B469-966E4C9D64A4}"/>
              </c:ext>
            </c:extLst>
          </c:dPt>
          <c:cat>
            <c:strRef>
              <c:f>(Activos!$B$4:$B$9,Activos!$B$13:$B$16,Activos!$B$20)</c:f>
              <c:strCache>
                <c:ptCount val="11"/>
                <c:pt idx="0">
                  <c:v>Efectivo</c:v>
                </c:pt>
                <c:pt idx="1">
                  <c:v>Inversiones</c:v>
                </c:pt>
                <c:pt idx="2">
                  <c:v>Existencias</c:v>
                </c:pt>
                <c:pt idx="3">
                  <c:v>Cuentas por cobrar</c:v>
                </c:pt>
                <c:pt idx="4">
                  <c:v>Gastos prepagados</c:v>
                </c:pt>
                <c:pt idx="5">
                  <c:v>Otros</c:v>
                </c:pt>
                <c:pt idx="6">
                  <c:v>Propiedad y equipos</c:v>
                </c:pt>
                <c:pt idx="7">
                  <c:v>Mejoras de arrendamiento</c:v>
                </c:pt>
                <c:pt idx="8">
                  <c:v>Capital y otras inversiones</c:v>
                </c:pt>
                <c:pt idx="9">
                  <c:v>Menos amortización acumulada</c:v>
                </c:pt>
                <c:pt idx="10">
                  <c:v>Fondo de comercio</c:v>
                </c:pt>
              </c:strCache>
            </c:strRef>
          </c:cat>
          <c:val>
            <c:numRef>
              <c:f>(Activos!$C$20,Activos!$C$13:$C$16,Activos!$C$4:$C$9)</c:f>
              <c:numCache>
                <c:formatCode>#,##0.00\ "€"</c:formatCode>
                <c:ptCount val="11"/>
                <c:pt idx="0">
                  <c:v>150</c:v>
                </c:pt>
                <c:pt idx="1">
                  <c:v>2500</c:v>
                </c:pt>
                <c:pt idx="2">
                  <c:v>450</c:v>
                </c:pt>
                <c:pt idx="3">
                  <c:v>1250</c:v>
                </c:pt>
                <c:pt idx="4">
                  <c:v>545</c:v>
                </c:pt>
                <c:pt idx="5">
                  <c:v>1000</c:v>
                </c:pt>
                <c:pt idx="6">
                  <c:v>1500</c:v>
                </c:pt>
                <c:pt idx="7">
                  <c:v>650</c:v>
                </c:pt>
                <c:pt idx="8">
                  <c:v>150</c:v>
                </c:pt>
                <c:pt idx="9">
                  <c:v>1230</c:v>
                </c:pt>
                <c:pt idx="10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C-427F-AC9A-071D13E99426}"/>
            </c:ext>
          </c:extLst>
        </c:ser>
        <c:ser>
          <c:idx val="1"/>
          <c:order val="1"/>
          <c:tx>
            <c:strRef>
              <c:f>Resumen!$D$2</c:f>
              <c:strCache>
                <c:ptCount val="1"/>
                <c:pt idx="0">
                  <c:v>Año 2026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(Activos!$B$4:$B$9,Activos!$B$13:$B$16,Activos!$B$20)</c:f>
              <c:strCache>
                <c:ptCount val="11"/>
                <c:pt idx="0">
                  <c:v>Efectivo</c:v>
                </c:pt>
                <c:pt idx="1">
                  <c:v>Inversiones</c:v>
                </c:pt>
                <c:pt idx="2">
                  <c:v>Existencias</c:v>
                </c:pt>
                <c:pt idx="3">
                  <c:v>Cuentas por cobrar</c:v>
                </c:pt>
                <c:pt idx="4">
                  <c:v>Gastos prepagados</c:v>
                </c:pt>
                <c:pt idx="5">
                  <c:v>Otros</c:v>
                </c:pt>
                <c:pt idx="6">
                  <c:v>Propiedad y equipos</c:v>
                </c:pt>
                <c:pt idx="7">
                  <c:v>Mejoras de arrendamiento</c:v>
                </c:pt>
                <c:pt idx="8">
                  <c:v>Capital y otras inversiones</c:v>
                </c:pt>
                <c:pt idx="9">
                  <c:v>Menos amortización acumulada</c:v>
                </c:pt>
                <c:pt idx="10">
                  <c:v>Fondo de comercio</c:v>
                </c:pt>
              </c:strCache>
            </c:strRef>
          </c:cat>
          <c:val>
            <c:numRef>
              <c:f>(Activos!$D$20,Activos!$D$13:$D$16,Activos!$D$4:$D$9)</c:f>
              <c:numCache>
                <c:formatCode>#,##0.00\ "€"</c:formatCode>
                <c:ptCount val="11"/>
                <c:pt idx="0">
                  <c:v>190</c:v>
                </c:pt>
                <c:pt idx="1">
                  <c:v>2500</c:v>
                </c:pt>
                <c:pt idx="2">
                  <c:v>350</c:v>
                </c:pt>
                <c:pt idx="3">
                  <c:v>1600</c:v>
                </c:pt>
                <c:pt idx="4">
                  <c:v>1295</c:v>
                </c:pt>
                <c:pt idx="5">
                  <c:v>1700</c:v>
                </c:pt>
                <c:pt idx="6">
                  <c:v>2550</c:v>
                </c:pt>
                <c:pt idx="7">
                  <c:v>1250</c:v>
                </c:pt>
                <c:pt idx="8">
                  <c:v>230</c:v>
                </c:pt>
                <c:pt idx="9">
                  <c:v>950</c:v>
                </c:pt>
                <c:pt idx="10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DC-427F-AC9A-071D13E99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506775480"/>
        <c:axId val="506775808"/>
      </c:barChart>
      <c:catAx>
        <c:axId val="5067754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06775808"/>
        <c:crosses val="autoZero"/>
        <c:auto val="1"/>
        <c:lblAlgn val="ctr"/>
        <c:lblOffset val="100"/>
        <c:noMultiLvlLbl val="0"/>
      </c:catAx>
      <c:valAx>
        <c:axId val="50677580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06775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855658598230779"/>
          <c:y val="1.1631046119235095E-2"/>
          <c:w val="0.24841652571206377"/>
          <c:h val="7.66805399325084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"/>
              <a:cs typeface="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accent2"/>
                </a:solidFill>
                <a:effectLst/>
                <a:latin typeface="+mj-lt"/>
                <a:ea typeface=""/>
                <a:cs typeface=""/>
              </a:defRPr>
            </a:pPr>
            <a:r>
              <a:rPr lang="en-US">
                <a:latin typeface="+mj-lt"/>
              </a:rPr>
              <a:t>Deudas y capital de propietario</a:t>
            </a:r>
          </a:p>
        </c:rich>
      </c:tx>
      <c:layout>
        <c:manualLayout>
          <c:xMode val="edge"/>
          <c:yMode val="edge"/>
          <c:x val="1.3441897540585192E-2"/>
          <c:y val="2.5974025974025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accent2"/>
              </a:solidFill>
              <a:effectLst/>
              <a:latin typeface="+mj-lt"/>
              <a:ea typeface=""/>
              <a:cs typeface="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0.23446680276076601"/>
          <c:y val="0.18341036915840064"/>
          <c:w val="0.70742957130358708"/>
          <c:h val="0.76848041722057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Resumen!$C$2</c:f>
              <c:strCache>
                <c:ptCount val="1"/>
                <c:pt idx="0">
                  <c:v>Año 2025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('Deudas y capital de propietario'!$B$4:$B$9,'Deudas y capital de propietario'!$B$13,'Deudas y capital de propietario'!$B$17:$B$18)</c:f>
              <c:strCache>
                <c:ptCount val="9"/>
                <c:pt idx="0">
                  <c:v>Cuentas por pagar</c:v>
                </c:pt>
                <c:pt idx="1">
                  <c:v>Sueldo acumulado</c:v>
                </c:pt>
                <c:pt idx="2">
                  <c:v>Compensación acumulada</c:v>
                </c:pt>
                <c:pt idx="3">
                  <c:v>Impuestos sobre ingresos por pagar</c:v>
                </c:pt>
                <c:pt idx="4">
                  <c:v>Ingresos no devengados</c:v>
                </c:pt>
                <c:pt idx="5">
                  <c:v>Otros</c:v>
                </c:pt>
                <c:pt idx="6">
                  <c:v>Hipoteca por pagar</c:v>
                </c:pt>
                <c:pt idx="7">
                  <c:v>Capital de inversión</c:v>
                </c:pt>
                <c:pt idx="8">
                  <c:v>Ganancias retenidas acumuladas</c:v>
                </c:pt>
              </c:strCache>
            </c:strRef>
          </c:cat>
          <c:val>
            <c:numRef>
              <c:f>('Deudas y capital de propietario'!$C$4:$C$9,'Deudas y capital de propietario'!$C$13,'Deudas y capital de propietario'!$C$17:$C$18)</c:f>
              <c:numCache>
                <c:formatCode>#,##0.00\ "€"</c:formatCode>
                <c:ptCount val="9"/>
                <c:pt idx="0">
                  <c:v>180</c:v>
                </c:pt>
                <c:pt idx="1">
                  <c:v>250</c:v>
                </c:pt>
                <c:pt idx="2">
                  <c:v>240</c:v>
                </c:pt>
                <c:pt idx="3">
                  <c:v>120</c:v>
                </c:pt>
                <c:pt idx="4">
                  <c:v>0</c:v>
                </c:pt>
                <c:pt idx="5">
                  <c:v>250</c:v>
                </c:pt>
                <c:pt idx="6">
                  <c:v>1500</c:v>
                </c:pt>
                <c:pt idx="7">
                  <c:v>5500</c:v>
                </c:pt>
                <c:pt idx="8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4-482D-817D-30AE983C480C}"/>
            </c:ext>
          </c:extLst>
        </c:ser>
        <c:ser>
          <c:idx val="1"/>
          <c:order val="1"/>
          <c:tx>
            <c:strRef>
              <c:f>Resumen!$D$2</c:f>
              <c:strCache>
                <c:ptCount val="1"/>
                <c:pt idx="0">
                  <c:v>Año 2026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('Deudas y capital de propietario'!$B$4:$B$9,'Deudas y capital de propietario'!$B$13,'Deudas y capital de propietario'!$B$17:$B$18)</c:f>
              <c:strCache>
                <c:ptCount val="9"/>
                <c:pt idx="0">
                  <c:v>Cuentas por pagar</c:v>
                </c:pt>
                <c:pt idx="1">
                  <c:v>Sueldo acumulado</c:v>
                </c:pt>
                <c:pt idx="2">
                  <c:v>Compensación acumulada</c:v>
                </c:pt>
                <c:pt idx="3">
                  <c:v>Impuestos sobre ingresos por pagar</c:v>
                </c:pt>
                <c:pt idx="4">
                  <c:v>Ingresos no devengados</c:v>
                </c:pt>
                <c:pt idx="5">
                  <c:v>Otros</c:v>
                </c:pt>
                <c:pt idx="6">
                  <c:v>Hipoteca por pagar</c:v>
                </c:pt>
                <c:pt idx="7">
                  <c:v>Capital de inversión</c:v>
                </c:pt>
                <c:pt idx="8">
                  <c:v>Ganancias retenidas acumuladas</c:v>
                </c:pt>
              </c:strCache>
            </c:strRef>
          </c:cat>
          <c:val>
            <c:numRef>
              <c:f>('Deudas y capital de propietario'!$D$4:$D$9,'Deudas y capital de propietario'!$D$13,'Deudas y capital de propietario'!$D$17:$D$18)</c:f>
              <c:numCache>
                <c:formatCode>#,##0.00\ "€"</c:formatCode>
                <c:ptCount val="9"/>
                <c:pt idx="0">
                  <c:v>252</c:v>
                </c:pt>
                <c:pt idx="1">
                  <c:v>370</c:v>
                </c:pt>
                <c:pt idx="2">
                  <c:v>190</c:v>
                </c:pt>
                <c:pt idx="3">
                  <c:v>130</c:v>
                </c:pt>
                <c:pt idx="4">
                  <c:v>0</c:v>
                </c:pt>
                <c:pt idx="5">
                  <c:v>235</c:v>
                </c:pt>
                <c:pt idx="6">
                  <c:v>1900</c:v>
                </c:pt>
                <c:pt idx="7">
                  <c:v>2500</c:v>
                </c:pt>
                <c:pt idx="8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24-482D-817D-30AE983C4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17355752"/>
        <c:axId val="417357392"/>
      </c:barChart>
      <c:catAx>
        <c:axId val="4173557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17357392"/>
        <c:crosses val="autoZero"/>
        <c:auto val="1"/>
        <c:lblAlgn val="ctr"/>
        <c:lblOffset val="100"/>
        <c:noMultiLvlLbl val="0"/>
      </c:catAx>
      <c:valAx>
        <c:axId val="41735739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17355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73132302906581"/>
          <c:y val="1.5960050448239425E-2"/>
          <c:w val="0.24808943326528629"/>
          <c:h val="7.66805399325084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"/>
              <a:cs typeface="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4</xdr:col>
      <xdr:colOff>0</xdr:colOff>
      <xdr:row>19</xdr:row>
      <xdr:rowOff>0</xdr:rowOff>
    </xdr:to>
    <xdr:graphicFrame macro="">
      <xdr:nvGraphicFramePr>
        <xdr:cNvPr id="5" name="Gráfico 4" descr="Gráfico de activo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4</xdr:col>
      <xdr:colOff>0</xdr:colOff>
      <xdr:row>31</xdr:row>
      <xdr:rowOff>0</xdr:rowOff>
    </xdr:to>
    <xdr:graphicFrame macro="">
      <xdr:nvGraphicFramePr>
        <xdr:cNvPr id="7" name="Gráfico 6" descr="Deudas y capital del propietari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0</xdr:row>
      <xdr:rowOff>1322306</xdr:rowOff>
    </xdr:to>
    <xdr:pic>
      <xdr:nvPicPr>
        <xdr:cNvPr id="6" name="Imagen 5" descr="Imagen abstracta" title="Banner 1">
          <a:extLst>
            <a:ext uri="{FF2B5EF4-FFF2-40B4-BE49-F238E27FC236}">
              <a16:creationId xmlns:a16="http://schemas.microsoft.com/office/drawing/2014/main" id="{2187BC33-9002-4060-A77F-5837210AB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0"/>
          <a:ext cx="6294120" cy="1322306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306941</xdr:rowOff>
    </xdr:from>
    <xdr:to>
      <xdr:col>3</xdr:col>
      <xdr:colOff>847725</xdr:colOff>
      <xdr:row>0</xdr:row>
      <xdr:rowOff>1253726</xdr:rowOff>
    </xdr:to>
    <xdr:sp macro="" textlink="">
      <xdr:nvSpPr>
        <xdr:cNvPr id="8" name="Cuadro de texto 1" descr="Balance de situación" title="Título 1">
          <a:extLst>
            <a:ext uri="{FF2B5EF4-FFF2-40B4-BE49-F238E27FC236}">
              <a16:creationId xmlns:a16="http://schemas.microsoft.com/office/drawing/2014/main" id="{529D1A66-1E7D-4896-9776-F87F93757AFE}"/>
            </a:ext>
          </a:extLst>
        </xdr:cNvPr>
        <xdr:cNvSpPr txBox="1"/>
      </xdr:nvSpPr>
      <xdr:spPr>
        <a:xfrm>
          <a:off x="152400" y="306941"/>
          <a:ext cx="5678805" cy="94678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es" sz="2000">
              <a:solidFill>
                <a:schemeClr val="bg1"/>
              </a:solidFill>
              <a:latin typeface="Constantia" panose="02030602050306030303" pitchFamily="18" charset="0"/>
            </a:rPr>
            <a:t>Balance de situación</a:t>
          </a:r>
        </a:p>
        <a:p>
          <a:pPr marL="0" algn="l" rtl="0"/>
          <a:r>
            <a:rPr lang="es" sz="2000">
              <a:solidFill>
                <a:schemeClr val="tx2">
                  <a:lumMod val="20000"/>
                  <a:lumOff val="80000"/>
                </a:schemeClr>
              </a:solidFill>
              <a:latin typeface="Constantia" panose="02030602050306030303" pitchFamily="18" charset="0"/>
            </a:rPr>
            <a:t>Nombre de la empresa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2" name="Imagen 1" descr="Imagen abstracta" title="Banner 1">
          <a:extLst>
            <a:ext uri="{FF2B5EF4-FFF2-40B4-BE49-F238E27FC236}">
              <a16:creationId xmlns:a16="http://schemas.microsoft.com/office/drawing/2014/main" id="{DB30E036-49BD-4193-A5FF-4E03205610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2400" y="0"/>
          <a:ext cx="6294120" cy="571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1</xdr:rowOff>
    </xdr:from>
    <xdr:to>
      <xdr:col>3</xdr:col>
      <xdr:colOff>847725</xdr:colOff>
      <xdr:row>0</xdr:row>
      <xdr:rowOff>563881</xdr:rowOff>
    </xdr:to>
    <xdr:sp macro="" textlink="">
      <xdr:nvSpPr>
        <xdr:cNvPr id="3" name="Cuadro de texto 1" descr="Balance de situación" title="Título 1">
          <a:extLst>
            <a:ext uri="{FF2B5EF4-FFF2-40B4-BE49-F238E27FC236}">
              <a16:creationId xmlns:a16="http://schemas.microsoft.com/office/drawing/2014/main" id="{5FEBD333-2AD9-4CE2-A0B1-5100FBD546B1}"/>
            </a:ext>
          </a:extLst>
        </xdr:cNvPr>
        <xdr:cNvSpPr txBox="1"/>
      </xdr:nvSpPr>
      <xdr:spPr>
        <a:xfrm>
          <a:off x="152400" y="1"/>
          <a:ext cx="5678805" cy="56388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es" sz="2000">
              <a:solidFill>
                <a:schemeClr val="bg1"/>
              </a:solidFill>
              <a:latin typeface="Constantia" panose="02030602050306030303" pitchFamily="18" charset="0"/>
            </a:rPr>
            <a:t>Activos</a:t>
          </a:r>
          <a:endParaRPr lang="en-US" sz="2000">
            <a:solidFill>
              <a:schemeClr val="tx2">
                <a:lumMod val="20000"/>
                <a:lumOff val="80000"/>
              </a:schemeClr>
            </a:solidFill>
            <a:latin typeface="Constantia" panose="02030602050306030303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2" name="Imagen 1" descr="Imagen abstracta" title="Banner 1">
          <a:extLst>
            <a:ext uri="{FF2B5EF4-FFF2-40B4-BE49-F238E27FC236}">
              <a16:creationId xmlns:a16="http://schemas.microsoft.com/office/drawing/2014/main" id="{B17AEE54-0A1B-41E0-B53A-9F155DF2E2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2400" y="0"/>
          <a:ext cx="6294120" cy="571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1</xdr:rowOff>
    </xdr:from>
    <xdr:to>
      <xdr:col>3</xdr:col>
      <xdr:colOff>847725</xdr:colOff>
      <xdr:row>0</xdr:row>
      <xdr:rowOff>563881</xdr:rowOff>
    </xdr:to>
    <xdr:sp macro="" textlink="">
      <xdr:nvSpPr>
        <xdr:cNvPr id="3" name="Cuadro de texto 1" descr="Balance de situación" title="Título 1">
          <a:extLst>
            <a:ext uri="{FF2B5EF4-FFF2-40B4-BE49-F238E27FC236}">
              <a16:creationId xmlns:a16="http://schemas.microsoft.com/office/drawing/2014/main" id="{E39FB8D0-54E5-404A-A67E-ECCE7C758A3D}"/>
            </a:ext>
          </a:extLst>
        </xdr:cNvPr>
        <xdr:cNvSpPr txBox="1"/>
      </xdr:nvSpPr>
      <xdr:spPr>
        <a:xfrm>
          <a:off x="152400" y="1"/>
          <a:ext cx="5678805" cy="56388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es" sz="2000">
              <a:solidFill>
                <a:schemeClr val="bg1"/>
              </a:solidFill>
              <a:latin typeface="Constantia" panose="02030602050306030303" pitchFamily="18" charset="0"/>
            </a:rPr>
            <a:t>Deudas y capital de propietario</a:t>
          </a:r>
          <a:endParaRPr lang="en-US" sz="2000">
            <a:solidFill>
              <a:schemeClr val="tx2">
                <a:lumMod val="20000"/>
                <a:lumOff val="80000"/>
              </a:schemeClr>
            </a:solidFill>
            <a:latin typeface="Constantia" panose="02030602050306030303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0000000}" name="Table_Summary" displayName="Table_Summary" ref="B4:D7" totalsRowShown="0">
  <tableColumns count="3">
    <tableColumn id="1" xr3:uid="{00000000-0010-0000-0000-000001000000}" name="Resumen del balance" dataDxfId="45"/>
    <tableColumn id="2" xr3:uid="{00000000-0010-0000-0000-000002000000}" name="Año 1" dataDxfId="44"/>
    <tableColumn id="3" xr3:uid="{00000000-0010-0000-0000-000003000000}" name="Año 2" dataDxfId="43"/>
  </tableColumns>
  <tableStyleInfo name="Tabla de la empresa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urrentAssets" displayName="Table_CurrentAssets" ref="B3:D10" totalsRowCount="1" headerRowDxfId="42" dataDxfId="41" totalsRowDxfId="40">
  <tableColumns count="3">
    <tableColumn id="1" xr3:uid="{00000000-0010-0000-0100-000001000000}" name="Activos actuales" totalsRowLabel="Activos actuales totales" dataDxfId="39" totalsRowDxfId="38"/>
    <tableColumn id="2" xr3:uid="{00000000-0010-0000-0100-000002000000}" name="Año 1" totalsRowFunction="sum" dataDxfId="37" totalsRowDxfId="36"/>
    <tableColumn id="3" xr3:uid="{00000000-0010-0000-0100-000003000000}" name="Año 2" totalsRowFunction="sum" dataDxfId="35" totalsRowDxfId="34"/>
  </tableColumns>
  <tableStyleInfo name="Tabla de la empresa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FixedAssets" displayName="Table_FixedAssets" ref="B12:D17" totalsRowCount="1" totalsRowDxfId="33">
  <tableColumns count="3">
    <tableColumn id="1" xr3:uid="{00000000-0010-0000-0200-000001000000}" name="Activo fijo" totalsRowLabel="Activos fijos totales" dataDxfId="32" totalsRowDxfId="31"/>
    <tableColumn id="2" xr3:uid="{00000000-0010-0000-0200-000002000000}" name="Año 1" totalsRowFunction="sum" dataDxfId="30" totalsRowDxfId="29"/>
    <tableColumn id="3" xr3:uid="{00000000-0010-0000-0200-000003000000}" name="Año 2" totalsRowFunction="sum" dataDxfId="28" totalsRowDxfId="27"/>
  </tableColumns>
  <tableStyleInfo name="Tabla de la empresa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OtherAssets" displayName="Table_OtherAssets" ref="B19:D21" totalsRowCount="1" totalsRowDxfId="26">
  <tableColumns count="3">
    <tableColumn id="1" xr3:uid="{00000000-0010-0000-0300-000001000000}" name="Otros activos" totalsRowLabel="Total de otros activos" dataDxfId="25" totalsRowDxfId="24"/>
    <tableColumn id="2" xr3:uid="{00000000-0010-0000-0300-000002000000}" name="Año 1" totalsRowFunction="sum" dataDxfId="23" totalsRowDxfId="22"/>
    <tableColumn id="3" xr3:uid="{00000000-0010-0000-0300-000003000000}" name="Año 2" totalsRowFunction="sum" dataDxfId="21" totalsRowDxfId="20"/>
  </tableColumns>
  <tableStyleInfo name="Tabla de la empresa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Table_CurrentLiabilities" displayName="Table_CurrentLiabilities" ref="B3:D10" totalsRowCount="1" totalsRowDxfId="19">
  <tableColumns count="3">
    <tableColumn id="1" xr3:uid="{00000000-0010-0000-0400-000001000000}" name="Deudas actuales" totalsRowLabel="Deudas actuales totales" dataDxfId="18" totalsRowDxfId="17"/>
    <tableColumn id="2" xr3:uid="{00000000-0010-0000-0400-000002000000}" name="Año 1" totalsRowFunction="sum" dataDxfId="16" totalsRowDxfId="15"/>
    <tableColumn id="3" xr3:uid="{00000000-0010-0000-0400-000003000000}" name="Año 2" totalsRowFunction="sum" dataDxfId="14" totalsRowDxfId="13"/>
  </tableColumns>
  <tableStyleInfo name="Tabla de la empresa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5000000}" name="Table_LongTermLiabilities" displayName="Table_LongTermLiabilities" ref="B12:D14" totalsRowCount="1" totalsRowDxfId="12">
  <tableColumns count="3">
    <tableColumn id="1" xr3:uid="{00000000-0010-0000-0500-000001000000}" name="Deudas a largo plazo" totalsRowLabel="Deudas a largo plazo totales" dataDxfId="11" totalsRowDxfId="10"/>
    <tableColumn id="2" xr3:uid="{00000000-0010-0000-0500-000002000000}" name="Año 1" totalsRowFunction="sum" dataDxfId="9" totalsRowDxfId="8"/>
    <tableColumn id="3" xr3:uid="{00000000-0010-0000-0500-000003000000}" name="Año 2" totalsRowFunction="sum" dataDxfId="7" totalsRowDxfId="6"/>
  </tableColumns>
  <tableStyleInfo name="Tabla de la empresa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6000000}" name="Table_OwnersEquity" displayName="Table_OwnersEquity" ref="B16:D19" totalsRowCount="1">
  <tableColumns count="3">
    <tableColumn id="1" xr3:uid="{00000000-0010-0000-0600-000001000000}" name="Capital del propietario" totalsRowLabel="Capital del propietario total" dataDxfId="5" totalsRowDxfId="4"/>
    <tableColumn id="2" xr3:uid="{00000000-0010-0000-0600-000002000000}" name="Año 1" totalsRowFunction="sum" dataDxfId="3" totalsRowDxfId="2"/>
    <tableColumn id="3" xr3:uid="{00000000-0010-0000-0600-000003000000}" name="Año 2" totalsRowFunction="sum" dataDxfId="1" totalsRowDxfId="0"/>
  </tableColumns>
  <tableStyleInfo name="Tabla de la empresa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1"/>
  <sheetViews>
    <sheetView showGridLines="0" topLeftCell="A34" zoomScaleNormal="100" workbookViewId="0"/>
  </sheetViews>
  <sheetFormatPr baseColWidth="10" defaultColWidth="8.88671875" defaultRowHeight="21" customHeight="1" x14ac:dyDescent="0.3"/>
  <cols>
    <col min="1" max="1" width="1.88671875" style="1" customWidth="1"/>
    <col min="2" max="2" width="38.88671875" style="1" customWidth="1"/>
    <col min="3" max="3" width="18.88671875" style="1" customWidth="1"/>
    <col min="4" max="4" width="17.44140625" style="1" customWidth="1"/>
    <col min="5" max="5" width="1.88671875" style="1" customWidth="1"/>
    <col min="6" max="16384" width="8.88671875" style="1"/>
  </cols>
  <sheetData>
    <row r="1" spans="2:5" ht="105.6" customHeight="1" x14ac:dyDescent="0.3">
      <c r="E1" s="1" t="s">
        <v>6</v>
      </c>
    </row>
    <row r="2" spans="2:5" ht="25.5" customHeight="1" x14ac:dyDescent="0.3">
      <c r="B2" s="2"/>
      <c r="C2" s="9" t="str">
        <f ca="1">"Año " &amp; YEAR(TODAY())-1</f>
        <v>Año 2025</v>
      </c>
      <c r="D2" s="9" t="str">
        <f ca="1">"Año " &amp; YEAR(TODAY())</f>
        <v>Año 2026</v>
      </c>
    </row>
    <row r="3" spans="2:5" ht="9" customHeight="1" x14ac:dyDescent="0.3"/>
    <row r="4" spans="2:5" ht="21" customHeight="1" x14ac:dyDescent="0.3">
      <c r="B4" s="12" t="s">
        <v>0</v>
      </c>
      <c r="C4" s="3" t="s">
        <v>4</v>
      </c>
      <c r="D4" s="4" t="s">
        <v>5</v>
      </c>
    </row>
    <row r="5" spans="2:5" ht="21" customHeight="1" x14ac:dyDescent="0.3">
      <c r="B5" s="5" t="s">
        <v>1</v>
      </c>
      <c r="C5" s="17">
        <f>Table_CurrentAssets[[#Totals],[Año 1]]+Table_FixedAssets[[#Totals],[Año 1]]+Table_OtherAssets[[#Totals],[Año 1]]</f>
        <v>9545</v>
      </c>
      <c r="D5" s="17">
        <f>Table_CurrentAssets[[#Totals],[Año 2]]+Table_FixedAssets[[#Totals],[Año 2]]+Table_OtherAssets[[#Totals],[Año 2]]</f>
        <v>12735</v>
      </c>
    </row>
    <row r="6" spans="2:5" ht="21" customHeight="1" x14ac:dyDescent="0.3">
      <c r="B6" s="8" t="s">
        <v>2</v>
      </c>
      <c r="C6" s="18">
        <f>Table_CurrentLiabilities[[#Totals],[Año 1]]+Table_LongTermLiabilities[[#Totals],[Año 1]]+Table_OwnersEquity[[#Totals],[Año 1]]</f>
        <v>8540</v>
      </c>
      <c r="D6" s="18">
        <f>Table_CurrentLiabilities[[#Totals],[Año 2]]+Table_LongTermLiabilities[[#Totals],[Año 2]]+Table_OwnersEquity[[#Totals],[Año 2]]</f>
        <v>6227</v>
      </c>
    </row>
    <row r="7" spans="2:5" ht="21" customHeight="1" x14ac:dyDescent="0.3">
      <c r="B7" s="7" t="s">
        <v>3</v>
      </c>
      <c r="C7" s="19">
        <f>C5-C6</f>
        <v>1005</v>
      </c>
      <c r="D7" s="19">
        <f>D5-D6</f>
        <v>6508</v>
      </c>
    </row>
    <row r="19" ht="12" customHeight="1" x14ac:dyDescent="0.3"/>
    <row r="31" ht="12" customHeight="1" x14ac:dyDescent="0.3"/>
  </sheetData>
  <dataValidations count="4">
    <dataValidation allowBlank="1" showInputMessage="1" showErrorMessage="1" promptTitle="Balance de situación" prompt="Escriba el año anterior en la celda C2 y el año actual en la celda D2. _x000a__x000a_Escriba activos y pasivos y recursos propios del propietario en las pestañas siguientes. Resumen de saldos y gráficos del año se actualizan automáticamente._x000a_ " sqref="A1" xr:uid="{00000000-0002-0000-0000-000000000000}"/>
    <dataValidation allowBlank="1" showInputMessage="1" showErrorMessage="1" prompt="Escriba el año anterior en esta celda" sqref="C2" xr:uid="{00000000-0002-0000-0000-000001000000}"/>
    <dataValidation allowBlank="1" showInputMessage="1" showErrorMessage="1" prompt="Escriba el año actual en esta celda" sqref="D2" xr:uid="{00000000-0002-0000-0000-000002000000}"/>
    <dataValidation allowBlank="1" showInputMessage="1" showErrorMessage="1" prompt="Esta tabla se actualizará automáticamente en función de las pestañas con los datos de activos y pasivos y recursos propios del propietario." sqref="B4" xr:uid="{00000000-0002-0000-0000-000003000000}"/>
  </dataValidations>
  <printOptions horizontalCentered="1"/>
  <pageMargins left="0.7" right="0.7" top="0.75" bottom="0.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1"/>
  <sheetViews>
    <sheetView showGridLines="0" showRowColHeaders="0" workbookViewId="0"/>
  </sheetViews>
  <sheetFormatPr baseColWidth="10" defaultColWidth="8.88671875" defaultRowHeight="21" customHeight="1" x14ac:dyDescent="0.3"/>
  <cols>
    <col min="1" max="1" width="1.88671875" style="1" customWidth="1"/>
    <col min="2" max="2" width="38.88671875" style="1" customWidth="1"/>
    <col min="3" max="3" width="18.88671875" style="1" customWidth="1"/>
    <col min="4" max="4" width="17.44140625" style="1" customWidth="1"/>
    <col min="5" max="9" width="1.88671875" style="1" customWidth="1"/>
    <col min="10" max="16384" width="8.88671875" style="1"/>
  </cols>
  <sheetData>
    <row r="1" spans="2:5" ht="45" customHeight="1" x14ac:dyDescent="0.4">
      <c r="B1" s="13"/>
      <c r="C1" s="14"/>
      <c r="D1" s="14"/>
      <c r="E1" s="1" t="s">
        <v>6</v>
      </c>
    </row>
    <row r="2" spans="2:5" ht="21" customHeight="1" x14ac:dyDescent="0.3">
      <c r="C2" s="11" t="str">
        <f ca="1">Preceding_Year</f>
        <v>Año 2025</v>
      </c>
      <c r="D2" s="11" t="str">
        <f ca="1">Current_Year</f>
        <v>Año 2026</v>
      </c>
    </row>
    <row r="3" spans="2:5" ht="21" customHeight="1" x14ac:dyDescent="0.3">
      <c r="B3" s="12" t="s">
        <v>7</v>
      </c>
      <c r="C3" s="3" t="s">
        <v>4</v>
      </c>
      <c r="D3" s="4" t="s">
        <v>5</v>
      </c>
    </row>
    <row r="4" spans="2:5" ht="21" customHeight="1" x14ac:dyDescent="0.3">
      <c r="B4" s="5" t="s">
        <v>8</v>
      </c>
      <c r="C4" s="17">
        <v>1000</v>
      </c>
      <c r="D4" s="17">
        <v>1700</v>
      </c>
    </row>
    <row r="5" spans="2:5" ht="21" customHeight="1" x14ac:dyDescent="0.3">
      <c r="B5" s="5" t="s">
        <v>9</v>
      </c>
      <c r="C5" s="17">
        <v>1500</v>
      </c>
      <c r="D5" s="17">
        <v>2550</v>
      </c>
    </row>
    <row r="6" spans="2:5" ht="21" customHeight="1" x14ac:dyDescent="0.3">
      <c r="B6" s="5" t="s">
        <v>10</v>
      </c>
      <c r="C6" s="17">
        <v>650</v>
      </c>
      <c r="D6" s="17">
        <v>1250</v>
      </c>
    </row>
    <row r="7" spans="2:5" ht="21" customHeight="1" x14ac:dyDescent="0.3">
      <c r="B7" s="5" t="s">
        <v>11</v>
      </c>
      <c r="C7" s="17">
        <v>150</v>
      </c>
      <c r="D7" s="17">
        <v>230</v>
      </c>
    </row>
    <row r="8" spans="2:5" ht="21" customHeight="1" x14ac:dyDescent="0.3">
      <c r="B8" s="5" t="s">
        <v>12</v>
      </c>
      <c r="C8" s="17">
        <v>1230</v>
      </c>
      <c r="D8" s="17">
        <v>950</v>
      </c>
    </row>
    <row r="9" spans="2:5" ht="21" customHeight="1" x14ac:dyDescent="0.3">
      <c r="B9" s="5" t="s">
        <v>13</v>
      </c>
      <c r="C9" s="17">
        <v>120</v>
      </c>
      <c r="D9" s="17">
        <v>120</v>
      </c>
    </row>
    <row r="10" spans="2:5" ht="21" customHeight="1" x14ac:dyDescent="0.3">
      <c r="B10" s="6" t="s">
        <v>14</v>
      </c>
      <c r="C10" s="20">
        <f>SUBTOTAL(109,Table_CurrentAssets[Año 1])</f>
        <v>4650</v>
      </c>
      <c r="D10" s="20">
        <f>SUBTOTAL(109,Table_CurrentAssets[Año 2])</f>
        <v>6800</v>
      </c>
    </row>
    <row r="12" spans="2:5" ht="21" customHeight="1" x14ac:dyDescent="0.3">
      <c r="B12" s="12" t="s">
        <v>15</v>
      </c>
      <c r="C12" s="3" t="s">
        <v>4</v>
      </c>
      <c r="D12" s="4" t="s">
        <v>5</v>
      </c>
    </row>
    <row r="13" spans="2:5" ht="21" customHeight="1" x14ac:dyDescent="0.3">
      <c r="B13" s="5" t="s">
        <v>16</v>
      </c>
      <c r="C13" s="17">
        <v>2500</v>
      </c>
      <c r="D13" s="17">
        <v>2500</v>
      </c>
    </row>
    <row r="14" spans="2:5" ht="21" customHeight="1" x14ac:dyDescent="0.3">
      <c r="B14" s="5" t="s">
        <v>17</v>
      </c>
      <c r="C14" s="17">
        <v>450</v>
      </c>
      <c r="D14" s="17">
        <v>350</v>
      </c>
    </row>
    <row r="15" spans="2:5" ht="21" customHeight="1" x14ac:dyDescent="0.3">
      <c r="B15" s="5" t="s">
        <v>18</v>
      </c>
      <c r="C15" s="17">
        <v>1250</v>
      </c>
      <c r="D15" s="17">
        <v>1600</v>
      </c>
    </row>
    <row r="16" spans="2:5" ht="21" customHeight="1" x14ac:dyDescent="0.3">
      <c r="B16" s="5" t="s">
        <v>19</v>
      </c>
      <c r="C16" s="17">
        <v>545</v>
      </c>
      <c r="D16" s="17">
        <v>1295</v>
      </c>
    </row>
    <row r="17" spans="2:4" ht="21" customHeight="1" x14ac:dyDescent="0.3">
      <c r="B17" s="7" t="s">
        <v>20</v>
      </c>
      <c r="C17" s="19">
        <f>SUBTOTAL(109,Table_FixedAssets[Año 1])</f>
        <v>4745</v>
      </c>
      <c r="D17" s="19">
        <f>SUBTOTAL(109,Table_FixedAssets[Año 2])</f>
        <v>5745</v>
      </c>
    </row>
    <row r="19" spans="2:4" ht="21" customHeight="1" x14ac:dyDescent="0.3">
      <c r="B19" s="12" t="s">
        <v>21</v>
      </c>
      <c r="C19" s="3" t="s">
        <v>4</v>
      </c>
      <c r="D19" s="4" t="s">
        <v>5</v>
      </c>
    </row>
    <row r="20" spans="2:4" ht="21" customHeight="1" x14ac:dyDescent="0.3">
      <c r="B20" s="5" t="s">
        <v>22</v>
      </c>
      <c r="C20" s="17">
        <v>150</v>
      </c>
      <c r="D20" s="17">
        <v>190</v>
      </c>
    </row>
    <row r="21" spans="2:4" ht="21" customHeight="1" x14ac:dyDescent="0.3">
      <c r="B21" s="7" t="s">
        <v>23</v>
      </c>
      <c r="C21" s="19">
        <f>SUBTOTAL(109,Table_OtherAssets[Año 1])</f>
        <v>150</v>
      </c>
      <c r="D21" s="19">
        <f>SUBTOTAL(109,Table_OtherAssets[Año 2])</f>
        <v>190</v>
      </c>
    </row>
  </sheetData>
  <dataValidations count="2">
    <dataValidation allowBlank="1" showInputMessage="1" showErrorMessage="1" prompt="Esta celda se actualiza automáticamente desde la pestaña Resumen." sqref="C2:D2" xr:uid="{00000000-0002-0000-0100-000000000000}"/>
    <dataValidation allowBlank="1" showInputMessage="1" showErrorMessage="1" prompt="Escriba los detalles de activos, activos fijos y otros bienes de esta pestaña" sqref="A1" xr:uid="{00000000-0002-0000-0100-000001000000}"/>
  </dataValidations>
  <printOptions horizontalCentered="1"/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9"/>
  <sheetViews>
    <sheetView showGridLines="0" showRowColHeaders="0" tabSelected="1" zoomScaleNormal="100" workbookViewId="0"/>
  </sheetViews>
  <sheetFormatPr baseColWidth="10" defaultColWidth="8.88671875" defaultRowHeight="21" customHeight="1" x14ac:dyDescent="0.3"/>
  <cols>
    <col min="1" max="1" width="1.88671875" style="1" customWidth="1"/>
    <col min="2" max="2" width="38.88671875" style="1" customWidth="1"/>
    <col min="3" max="3" width="18.88671875" style="1" customWidth="1"/>
    <col min="4" max="4" width="17.44140625" style="1" customWidth="1"/>
    <col min="5" max="10" width="1.88671875" style="1" customWidth="1"/>
    <col min="11" max="16384" width="8.88671875" style="1"/>
  </cols>
  <sheetData>
    <row r="1" spans="2:5" ht="45" customHeight="1" x14ac:dyDescent="0.4">
      <c r="B1" s="15"/>
      <c r="C1" s="16"/>
      <c r="D1" s="16"/>
      <c r="E1" s="1" t="s">
        <v>6</v>
      </c>
    </row>
    <row r="2" spans="2:5" ht="21" customHeight="1" x14ac:dyDescent="0.3">
      <c r="C2" s="10" t="str">
        <f ca="1">Preceding_Year</f>
        <v>Año 2025</v>
      </c>
      <c r="D2" s="10" t="str">
        <f ca="1">Current_Year</f>
        <v>Año 2026</v>
      </c>
    </row>
    <row r="3" spans="2:5" ht="21" customHeight="1" x14ac:dyDescent="0.3">
      <c r="B3" s="12" t="s">
        <v>24</v>
      </c>
      <c r="C3" s="3" t="s">
        <v>4</v>
      </c>
      <c r="D3" s="4" t="s">
        <v>5</v>
      </c>
    </row>
    <row r="4" spans="2:5" ht="21" customHeight="1" x14ac:dyDescent="0.3">
      <c r="B4" s="5" t="s">
        <v>25</v>
      </c>
      <c r="C4" s="17">
        <v>180</v>
      </c>
      <c r="D4" s="17">
        <v>252</v>
      </c>
    </row>
    <row r="5" spans="2:5" ht="21" customHeight="1" x14ac:dyDescent="0.3">
      <c r="B5" s="5" t="s">
        <v>26</v>
      </c>
      <c r="C5" s="17">
        <v>250</v>
      </c>
      <c r="D5" s="17">
        <v>370</v>
      </c>
    </row>
    <row r="6" spans="2:5" ht="21" customHeight="1" x14ac:dyDescent="0.3">
      <c r="B6" s="5" t="s">
        <v>27</v>
      </c>
      <c r="C6" s="17">
        <v>240</v>
      </c>
      <c r="D6" s="17">
        <v>190</v>
      </c>
    </row>
    <row r="7" spans="2:5" ht="21" customHeight="1" x14ac:dyDescent="0.3">
      <c r="B7" s="5" t="s">
        <v>28</v>
      </c>
      <c r="C7" s="17">
        <v>120</v>
      </c>
      <c r="D7" s="17">
        <v>130</v>
      </c>
    </row>
    <row r="8" spans="2:5" ht="21" customHeight="1" x14ac:dyDescent="0.3">
      <c r="B8" s="5" t="s">
        <v>29</v>
      </c>
      <c r="C8" s="17">
        <v>0</v>
      </c>
      <c r="D8" s="17">
        <v>0</v>
      </c>
    </row>
    <row r="9" spans="2:5" ht="21" customHeight="1" x14ac:dyDescent="0.3">
      <c r="B9" s="5" t="s">
        <v>13</v>
      </c>
      <c r="C9" s="17">
        <v>250</v>
      </c>
      <c r="D9" s="17">
        <v>235</v>
      </c>
    </row>
    <row r="10" spans="2:5" ht="21" customHeight="1" x14ac:dyDescent="0.3">
      <c r="B10" s="7" t="s">
        <v>30</v>
      </c>
      <c r="C10" s="19">
        <f>SUBTOTAL(109,Table_CurrentLiabilities[Año 1])</f>
        <v>1040</v>
      </c>
      <c r="D10" s="19">
        <f>SUBTOTAL(109,Table_CurrentLiabilities[Año 2])</f>
        <v>1177</v>
      </c>
    </row>
    <row r="12" spans="2:5" ht="21" customHeight="1" x14ac:dyDescent="0.3">
      <c r="B12" s="12" t="s">
        <v>31</v>
      </c>
      <c r="C12" s="3" t="s">
        <v>4</v>
      </c>
      <c r="D12" s="4" t="s">
        <v>5</v>
      </c>
    </row>
    <row r="13" spans="2:5" ht="21" customHeight="1" x14ac:dyDescent="0.3">
      <c r="B13" s="5" t="s">
        <v>32</v>
      </c>
      <c r="C13" s="17">
        <v>1500</v>
      </c>
      <c r="D13" s="17">
        <v>1900</v>
      </c>
    </row>
    <row r="14" spans="2:5" ht="21" customHeight="1" x14ac:dyDescent="0.3">
      <c r="B14" s="7" t="s">
        <v>33</v>
      </c>
      <c r="C14" s="19">
        <f>SUBTOTAL(109,Table_LongTermLiabilities[Año 1])</f>
        <v>1500</v>
      </c>
      <c r="D14" s="19">
        <f>SUBTOTAL(109,Table_LongTermLiabilities[Año 2])</f>
        <v>1900</v>
      </c>
    </row>
    <row r="16" spans="2:5" ht="21" customHeight="1" x14ac:dyDescent="0.3">
      <c r="B16" s="12" t="s">
        <v>34</v>
      </c>
      <c r="C16" s="3" t="s">
        <v>4</v>
      </c>
      <c r="D16" s="4" t="s">
        <v>5</v>
      </c>
    </row>
    <row r="17" spans="2:4" ht="21" customHeight="1" x14ac:dyDescent="0.3">
      <c r="B17" s="5" t="s">
        <v>35</v>
      </c>
      <c r="C17" s="17">
        <v>5500</v>
      </c>
      <c r="D17" s="17">
        <v>2500</v>
      </c>
    </row>
    <row r="18" spans="2:4" ht="21" customHeight="1" x14ac:dyDescent="0.3">
      <c r="B18" s="5" t="s">
        <v>36</v>
      </c>
      <c r="C18" s="17">
        <v>500</v>
      </c>
      <c r="D18" s="17">
        <v>650</v>
      </c>
    </row>
    <row r="19" spans="2:4" ht="21" customHeight="1" x14ac:dyDescent="0.3">
      <c r="B19" s="7" t="s">
        <v>37</v>
      </c>
      <c r="C19" s="19">
        <f>SUBTOTAL(109,Table_OwnersEquity[Año 1])</f>
        <v>6000</v>
      </c>
      <c r="D19" s="19">
        <f>SUBTOTAL(109,Table_OwnersEquity[Año 2])</f>
        <v>3150</v>
      </c>
    </row>
  </sheetData>
  <dataValidations count="2">
    <dataValidation allowBlank="1" showInputMessage="1" showErrorMessage="1" prompt="Esta celda se actualiza automáticamente desde la pestaña Resumen." sqref="C2:D2" xr:uid="{00000000-0002-0000-0200-000000000000}"/>
    <dataValidation allowBlank="1" showInputMessage="1" showErrorMessage="1" prompt="Escriba pasivos actuales, pasivos a largo plazo y detalles sobre el capital del propietario en esta pestaña" sqref="A1" xr:uid="{00000000-0002-0000-0200-000001000000}"/>
  </dataValidations>
  <printOptions horizontalCentered="1"/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48C893-941E-4E59-871D-C8899FD1A6B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ECF4DDB1-758E-4141-9C96-BD2A23C76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TM44461500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Activos</vt:lpstr>
      <vt:lpstr>Deudas y capital de propietario</vt:lpstr>
      <vt:lpstr>Current_Year</vt:lpstr>
      <vt:lpstr>Preceding_Year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2019-07-12T07:01:09Z</dcterms:created>
  <dcterms:modified xsi:type="dcterms:W3CDTF">2026-06-20T11:29:40Z</dcterms:modified>
</cp:coreProperties>
</file>